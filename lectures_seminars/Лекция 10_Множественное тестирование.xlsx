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ножественное тестирование" sheetId="1" r:id="rId5"/>
  </sheets>
  <definedNames/>
  <calcPr/>
</workbook>
</file>

<file path=xl/sharedStrings.xml><?xml version="1.0" encoding="utf-8"?>
<sst xmlns="http://schemas.openxmlformats.org/spreadsheetml/2006/main" count="26" uniqueCount="21">
  <si>
    <r>
      <rPr>
        <rFont val="Arial"/>
        <color theme="1"/>
        <sz val="10.0"/>
      </rPr>
      <t xml:space="preserve">1) Укажем в колонке </t>
    </r>
    <r>
      <rPr>
        <rFont val="Arial"/>
        <b/>
        <color theme="1"/>
        <sz val="10.0"/>
      </rPr>
      <t>B</t>
    </r>
    <r>
      <rPr>
        <rFont val="Arial"/>
        <color theme="1"/>
        <sz val="10.0"/>
      </rPr>
      <t xml:space="preserve"> полученную конверсию в покупку для вариантов с разными цветами фона</t>
    </r>
  </si>
  <si>
    <r>
      <rPr>
        <rFont val="Arial"/>
        <color theme="1"/>
        <sz val="10.0"/>
      </rPr>
      <t xml:space="preserve">2) Подсчитаем p-value. В качестве нулевой гипотезы возьмем конверсию из посетителя в покупателя, которая
 распределена нормально с известным средним значением и известным стандартным отклонением.
В этом случае p-value для двусторонней гипотезы можно посчитать как </t>
    </r>
    <r>
      <rPr>
        <rFont val="Arial"/>
        <b/>
        <color theme="1"/>
        <sz val="10.0"/>
      </rPr>
      <t>(1 - NORM.DIST(abs(x - mu);0;std;ИСТИНА)) * 2</t>
    </r>
    <r>
      <rPr>
        <rFont val="Arial"/>
        <color theme="1"/>
        <sz val="10.0"/>
      </rPr>
      <t>, где x - конверсия в пилотной группе  в период эксперимент, mu - конверсия без нашего воздействия, std - её стандартное отклонение</t>
    </r>
  </si>
  <si>
    <t>3) В 12й строке задан уровень групповой ошибки и число тестируемых гипотез</t>
  </si>
  <si>
    <t>4) Критическое значение для p-value при поправке Бонферрони находим как отношение уровня групповой ошибки к числу гипотез</t>
  </si>
  <si>
    <t>5) Эффект есть в тех гипотезах, где p-value меньше критического. Подсветим их зеленым. Это эксперименты 8 и 10.</t>
  </si>
  <si>
    <r>
      <rPr>
        <rFont val="Arial"/>
        <color theme="1"/>
        <sz val="10.0"/>
      </rPr>
      <t xml:space="preserve">6) Для метода Холма определим ранги найденных p-value с помощью функции </t>
    </r>
    <r>
      <rPr>
        <rFont val="Arial"/>
        <b/>
        <color theme="1"/>
        <sz val="10.0"/>
      </rPr>
      <t>RANK</t>
    </r>
    <r>
      <rPr>
        <rFont val="Arial"/>
        <color theme="1"/>
        <sz val="10.0"/>
      </rPr>
      <t xml:space="preserve"> и запишем результат в столбец </t>
    </r>
    <r>
      <rPr>
        <rFont val="Arial"/>
        <b/>
        <color theme="1"/>
        <sz val="10.0"/>
      </rPr>
      <t>G</t>
    </r>
  </si>
  <si>
    <r>
      <rPr>
        <rFont val="Arial"/>
        <color theme="1"/>
        <sz val="10.0"/>
      </rPr>
      <t xml:space="preserve">7) Критические значения для метода Холма зависят от ранга. Посмотрите формулу в столбце </t>
    </r>
    <r>
      <rPr>
        <rFont val="Arial"/>
        <b/>
        <color theme="1"/>
        <sz val="10.0"/>
      </rPr>
      <t>H</t>
    </r>
  </si>
  <si>
    <t>8) Подсветим те гипотезы, где p-value меньше критического.</t>
  </si>
  <si>
    <r>
      <rPr>
        <rFont val="Arial"/>
        <color theme="1"/>
        <sz val="10.0"/>
      </rPr>
      <t xml:space="preserve">9) Оставим подсвеченными только те из ранее выбранных гипотез, для которых все гипотезы меньшего ранга тоже подсвечены.
В этом случае мы можем говорить о обнаруженном эффекте. В нашем примере это гипотезы </t>
    </r>
    <r>
      <rPr>
        <rFont val="Arial"/>
        <b/>
        <color theme="1"/>
        <sz val="10.0"/>
      </rPr>
      <t>10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8</t>
    </r>
    <r>
      <rPr>
        <rFont val="Arial"/>
        <color theme="1"/>
        <sz val="10.0"/>
      </rPr>
      <t xml:space="preserve"> и </t>
    </r>
    <r>
      <rPr>
        <rFont val="Arial"/>
        <b/>
        <color theme="1"/>
        <sz val="10.0"/>
      </rPr>
      <t>4</t>
    </r>
    <r>
      <rPr>
        <rFont val="Arial"/>
        <color theme="1"/>
        <sz val="10.0"/>
      </rPr>
      <t>.</t>
    </r>
  </si>
  <si>
    <t>конверсия из посетителя в покупателя за период эксперимента =</t>
  </si>
  <si>
    <t>стандартное отклонение=</t>
  </si>
  <si>
    <t>уровень групповой ошибки=</t>
  </si>
  <si>
    <t>число гипотез=</t>
  </si>
  <si>
    <t>номер цвета</t>
  </si>
  <si>
    <t>доля покупателей</t>
  </si>
  <si>
    <t>p-value</t>
  </si>
  <si>
    <t>кр. значение
Бонферрони</t>
  </si>
  <si>
    <t>RANK</t>
  </si>
  <si>
    <t>кр. значение
Холма</t>
  </si>
  <si>
    <t>отвергаем H0</t>
  </si>
  <si>
    <t>стат. зн.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</si>
</sst>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4" numFmtId="164" xfId="0" applyAlignment="1" applyFill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" fontId="4" numFmtId="164" xfId="0" applyAlignment="1" applyFont="1" applyNumberForma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9</v>
      </c>
      <c r="C11" s="5">
        <v>0.05</v>
      </c>
      <c r="D11" s="6" t="s">
        <v>10</v>
      </c>
      <c r="F11" s="5">
        <v>0.002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11</v>
      </c>
      <c r="C12" s="5">
        <v>0.2</v>
      </c>
      <c r="D12" s="6" t="s">
        <v>12</v>
      </c>
      <c r="F12" s="5">
        <v>10.0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13</v>
      </c>
      <c r="B13" s="8" t="s">
        <v>14</v>
      </c>
      <c r="C13" s="7" t="s">
        <v>15</v>
      </c>
      <c r="D13" s="7" t="s">
        <v>16</v>
      </c>
      <c r="E13" s="2"/>
      <c r="F13" s="7" t="s">
        <v>15</v>
      </c>
      <c r="G13" s="7" t="s">
        <v>17</v>
      </c>
      <c r="H13" s="7" t="s">
        <v>18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1.0</v>
      </c>
      <c r="B14" s="9">
        <v>0.0515</v>
      </c>
      <c r="C14" s="10">
        <f>(1 - _xlfn.NORM.DIST(abs($B$14 - $C$11),0,$F$11,TRUE)) * 2</f>
        <v>0.4532547048</v>
      </c>
      <c r="D14" s="11">
        <f t="shared" ref="D14:D23" si="1">$C$12/$F$12</f>
        <v>0.02</v>
      </c>
      <c r="E14" s="12"/>
      <c r="F14" s="13">
        <f t="shared" ref="F14:F23" si="2">C14</f>
        <v>0.4532547048</v>
      </c>
      <c r="G14" s="12">
        <f t="shared" ref="G14:G23" si="3">RANK(F14,F$14:F$23,1)</f>
        <v>7</v>
      </c>
      <c r="H14" s="11">
        <f t="shared" ref="H14:H23" si="4">$C$12/($F$12+1-G14)</f>
        <v>0.05</v>
      </c>
      <c r="I14" s="1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2.0</v>
      </c>
      <c r="B15" s="9">
        <v>0.0542</v>
      </c>
      <c r="C15" s="10">
        <f t="shared" ref="C15:C23" si="5">(1 - _xlfn.NORM.DIST(abs(B15 - $C$11),0,$F$11,TRUE)) * 2</f>
        <v>0.03572884113</v>
      </c>
      <c r="D15" s="11">
        <f t="shared" si="1"/>
        <v>0.02</v>
      </c>
      <c r="E15" s="12"/>
      <c r="F15" s="13">
        <f t="shared" si="2"/>
        <v>0.03572884113</v>
      </c>
      <c r="G15" s="12">
        <f t="shared" si="3"/>
        <v>4</v>
      </c>
      <c r="H15" s="11">
        <f t="shared" si="4"/>
        <v>0.02857142857</v>
      </c>
      <c r="I15" s="1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3.0</v>
      </c>
      <c r="B16" s="9">
        <v>0.0514</v>
      </c>
      <c r="C16" s="10">
        <f t="shared" si="5"/>
        <v>0.4839273044</v>
      </c>
      <c r="D16" s="11">
        <f t="shared" si="1"/>
        <v>0.02</v>
      </c>
      <c r="E16" s="12"/>
      <c r="F16" s="13">
        <f t="shared" si="2"/>
        <v>0.4839273044</v>
      </c>
      <c r="G16" s="12">
        <f t="shared" si="3"/>
        <v>8</v>
      </c>
      <c r="H16" s="11">
        <f t="shared" si="4"/>
        <v>0.06666666667</v>
      </c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4.0</v>
      </c>
      <c r="B17" s="9">
        <v>0.0545</v>
      </c>
      <c r="C17" s="10">
        <f t="shared" si="5"/>
        <v>0.02444894531</v>
      </c>
      <c r="D17" s="11">
        <f t="shared" si="1"/>
        <v>0.02</v>
      </c>
      <c r="E17" s="12"/>
      <c r="F17" s="13">
        <f t="shared" si="2"/>
        <v>0.02444894531</v>
      </c>
      <c r="G17" s="12">
        <f t="shared" si="3"/>
        <v>3</v>
      </c>
      <c r="H17" s="11">
        <f t="shared" si="4"/>
        <v>0.025</v>
      </c>
      <c r="I17" s="9" t="s">
        <v>19</v>
      </c>
      <c r="J17" s="14" t="s">
        <v>20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5.0</v>
      </c>
      <c r="B18" s="9">
        <v>0.0541</v>
      </c>
      <c r="C18" s="10">
        <f t="shared" si="5"/>
        <v>0.04036443081</v>
      </c>
      <c r="D18" s="11">
        <f t="shared" si="1"/>
        <v>0.02</v>
      </c>
      <c r="E18" s="12"/>
      <c r="F18" s="13">
        <f t="shared" si="2"/>
        <v>0.04036443081</v>
      </c>
      <c r="G18" s="12">
        <f t="shared" si="3"/>
        <v>5</v>
      </c>
      <c r="H18" s="11">
        <f t="shared" si="4"/>
        <v>0.03333333333</v>
      </c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6.0</v>
      </c>
      <c r="B19" s="9">
        <v>0.0497</v>
      </c>
      <c r="C19" s="10">
        <f t="shared" si="5"/>
        <v>0.8807646153</v>
      </c>
      <c r="D19" s="11">
        <f t="shared" si="1"/>
        <v>0.02</v>
      </c>
      <c r="E19" s="12"/>
      <c r="F19" s="13">
        <f t="shared" si="2"/>
        <v>0.8807646153</v>
      </c>
      <c r="G19" s="12">
        <f t="shared" si="3"/>
        <v>10</v>
      </c>
      <c r="H19" s="11">
        <f t="shared" si="4"/>
        <v>0.2</v>
      </c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7.0</v>
      </c>
      <c r="B20" s="9">
        <v>0.0519</v>
      </c>
      <c r="C20" s="10">
        <f t="shared" si="5"/>
        <v>0.3421122526</v>
      </c>
      <c r="D20" s="11">
        <f t="shared" si="1"/>
        <v>0.02</v>
      </c>
      <c r="E20" s="12"/>
      <c r="F20" s="13">
        <f t="shared" si="2"/>
        <v>0.3421122526</v>
      </c>
      <c r="G20" s="12">
        <f t="shared" si="3"/>
        <v>6</v>
      </c>
      <c r="H20" s="11">
        <f t="shared" si="4"/>
        <v>0.04</v>
      </c>
      <c r="I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>
        <v>8.0</v>
      </c>
      <c r="B21" s="9">
        <v>0.0551</v>
      </c>
      <c r="C21" s="10">
        <f t="shared" si="5"/>
        <v>0.01077229191</v>
      </c>
      <c r="D21" s="11">
        <f t="shared" si="1"/>
        <v>0.02</v>
      </c>
      <c r="E21" s="12"/>
      <c r="F21" s="13">
        <f t="shared" si="2"/>
        <v>0.01077229191</v>
      </c>
      <c r="G21" s="12">
        <f t="shared" si="3"/>
        <v>2</v>
      </c>
      <c r="H21" s="11">
        <f t="shared" si="4"/>
        <v>0.02222222222</v>
      </c>
      <c r="I21" s="9" t="s">
        <v>19</v>
      </c>
      <c r="J21" s="14" t="s">
        <v>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>
        <v>9.0</v>
      </c>
      <c r="B22" s="9">
        <v>0.0492</v>
      </c>
      <c r="C22" s="10">
        <f t="shared" si="5"/>
        <v>0.6891565168</v>
      </c>
      <c r="D22" s="11">
        <f t="shared" si="1"/>
        <v>0.02</v>
      </c>
      <c r="E22" s="12"/>
      <c r="F22" s="13">
        <f t="shared" si="2"/>
        <v>0.6891565168</v>
      </c>
      <c r="G22" s="12">
        <f t="shared" si="3"/>
        <v>9</v>
      </c>
      <c r="H22" s="11">
        <f t="shared" si="4"/>
        <v>0.1</v>
      </c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>
        <v>10.0</v>
      </c>
      <c r="B23" s="9">
        <v>0.0554</v>
      </c>
      <c r="C23" s="10">
        <f t="shared" si="5"/>
        <v>0.006933947606</v>
      </c>
      <c r="D23" s="11">
        <f t="shared" si="1"/>
        <v>0.02</v>
      </c>
      <c r="E23" s="12"/>
      <c r="F23" s="13">
        <f t="shared" si="2"/>
        <v>0.006933947606</v>
      </c>
      <c r="G23" s="12">
        <f t="shared" si="3"/>
        <v>1</v>
      </c>
      <c r="H23" s="11">
        <f t="shared" si="4"/>
        <v>0.02</v>
      </c>
      <c r="I23" s="9" t="s">
        <v>19</v>
      </c>
      <c r="J23" s="14" t="s">
        <v>20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3"/>
      <c r="G24" s="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H8"/>
    <mergeCell ref="A9:H9"/>
    <mergeCell ref="A11:B11"/>
    <mergeCell ref="D11:E11"/>
    <mergeCell ref="A12:B12"/>
    <mergeCell ref="D12:E12"/>
    <mergeCell ref="A1:H1"/>
    <mergeCell ref="A2:H2"/>
    <mergeCell ref="A3:H3"/>
    <mergeCell ref="A4:H4"/>
    <mergeCell ref="A5:H5"/>
    <mergeCell ref="A6:H6"/>
    <mergeCell ref="A7:H7"/>
  </mergeCells>
  <conditionalFormatting sqref="F14:F24">
    <cfRule type="cellIs" dxfId="0" priority="1" operator="lessThan">
      <formula>H14</formula>
    </cfRule>
  </conditionalFormatting>
  <conditionalFormatting sqref="C14:C23">
    <cfRule type="cellIs" dxfId="0" priority="2" operator="lessThan">
      <formula>D14</formula>
    </cfRule>
  </conditionalFormatting>
  <drawing r:id="rId1"/>
</worksheet>
</file>